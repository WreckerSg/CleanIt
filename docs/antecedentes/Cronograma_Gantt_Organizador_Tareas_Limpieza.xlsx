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3768b396441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" sheetId="1" r:id="R1be0855cd18b45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m-yyyy"/>
    <x:numFmt numFmtId="201" formatCode="0%"/>
    <x:numFmt numFmtId="202" formatCode="dd-mmm"/>
    <x:numFmt numFmtId="203" formatCode="0"/>
    <x:numFmt numFmtId="204" formatCode=";;;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sz val="10"/>
      <x:color rgb="FF17324D"/>
      <x:name val="Carlito"/>
    </x:font>
    <x:font>
      <x:b/>
      <x:sz val="10"/>
      <x:color rgb="FF17324D"/>
      <x:name val="Carlito"/>
    </x:font>
    <x:font>
      <x:b/>
      <x:sz val="13"/>
      <x:color rgb="FF2A9D8F"/>
      <x:name val="Carlito"/>
    </x:font>
    <x:font>
      <x:i/>
      <x:sz val="9"/>
      <x:color rgb="FF5E6B75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sz val="9"/>
      <x:color rgb="FF263238"/>
      <x:name val="Carlito"/>
    </x:font>
    <x:font>
      <x:b/>
      <x:sz val="11"/>
      <x:color rgb="FF17324D"/>
      <x:name val="Carlito"/>
    </x:font>
    <x:font>
      <x:i/>
      <x:sz val="9"/>
      <x:color rgb="FF5D4A00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8F1"/>
      </x:patternFill>
    </x:fill>
    <x:fill>
      <x:patternFill patternType="solid">
        <x:fgColor rgb="FFEAF2F8"/>
      </x:patternFill>
    </x:fill>
    <x:fill>
      <x:patternFill patternType="solid">
        <x:fgColor rgb="FFF5F8FA"/>
      </x:patternFill>
    </x:fill>
    <x:fill>
      <x:patternFill patternType="solid">
        <x:fgColor rgb="FF2A9D8F"/>
      </x:patternFill>
    </x:fill>
    <x:fill>
      <x:patternFill patternType="solid">
        <x:fgColor rgb="FFF8FAFB"/>
      </x:patternFill>
    </x:fill>
    <x:fill>
      <x:patternFill patternType="solid">
        <x:fgColor rgb="FF5B8FF9"/>
      </x:patternFill>
    </x:fill>
    <x:fill>
      <x:patternFill patternType="solid">
        <x:fgColor rgb="FF61DDAA"/>
      </x:patternFill>
    </x:fill>
    <x:fill>
      <x:patternFill patternType="solid">
        <x:fgColor rgb="FFF6BD16"/>
      </x:patternFill>
    </x:fill>
    <x:fill>
      <x:patternFill patternType="solid">
        <x:fgColor rgb="FFE8684A"/>
      </x:patternFill>
    </x:fill>
    <x:fill>
      <x:patternFill patternType="solid">
        <x:fgColor rgb="FFFFF8E1"/>
      </x:patternFill>
    </x:fill>
  </x:fills>
  <x:borders count="21">
    <x:border/>
    <x:border>
      <x:left style="thin">
        <x:color rgb="FFC9D5DF"/>
      </x:left>
      <x:top style="thin">
        <x:color rgb="FFC9D5DF"/>
      </x:top>
    </x:border>
    <x:border>
      <x:top style="thin">
        <x:color rgb="FFC9D5DF"/>
      </x:top>
    </x:border>
    <x:border>
      <x:right style="thin">
        <x:color rgb="FFC9D5DF"/>
      </x:right>
      <x:top style="thin">
        <x:color rgb="FFC9D5DF"/>
      </x:top>
    </x:border>
    <x:border>
      <x:left style="thin">
        <x:color rgb="FFC9D5DF"/>
      </x:left>
      <x:bottom style="thin">
        <x:color rgb="FFC9D5DF"/>
      </x:bottom>
    </x:border>
    <x:border>
      <x:bottom style="thin">
        <x:color rgb="FFC9D5DF"/>
      </x:bottom>
    </x:border>
    <x:border>
      <x:right style="thin">
        <x:color rgb="FFC9D5DF"/>
      </x:right>
      <x:bottom style="thin">
        <x:color rgb="FFC9D5DF"/>
      </x:bottom>
    </x:border>
    <x:border>
      <x:left style="thin">
        <x:color rgb="FFC9D5DF"/>
      </x:left>
      <x:top style="thin">
        <x:color rgb="FFC9D5DF"/>
      </x:top>
      <x:bottom style="thin">
        <x:color rgb="FFC9D5DF"/>
      </x:bottom>
    </x:border>
    <x:border>
      <x:top style="thin">
        <x:color rgb="FFC9D5DF"/>
      </x:top>
      <x:bottom style="thin">
        <x:color rgb="FFC9D5DF"/>
      </x:bottom>
    </x:border>
    <x:border>
      <x:right style="thin">
        <x:color rgb="FFC9D5DF"/>
      </x:right>
      <x:top style="thin">
        <x:color rgb="FFC9D5DF"/>
      </x:top>
      <x:bottom style="thin">
        <x:color rgb="FFC9D5D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4EAEE"/>
      </x:bottom>
    </x:border>
    <x:border>
      <x:top style="thin">
        <x:color rgb="FFE4EAEE"/>
      </x:top>
      <x:bottom style="thin">
        <x:color rgb="FFE4EAEE"/>
      </x:bottom>
    </x:border>
    <x:border>
      <x:top style="thin">
        <x:color rgb="FFE4EAEE"/>
      </x:top>
      <x:bottom style="thin">
        <x:color rgb="FFC9D5DF"/>
      </x:bottom>
    </x:border>
    <x:border>
      <x:left style="thin">
        <x:color rgb="FFE4EAEE"/>
      </x:left>
      <x:right style="thin">
        <x:color rgb="FFE4EAEE"/>
      </x:right>
      <x:top style="thin">
        <x:color rgb="FFE4EAEE"/>
      </x:top>
      <x:bottom style="thin">
        <x:color rgb="FFE4EAEE"/>
      </x:bottom>
    </x:border>
    <x:border>
      <x:left style="thin">
        <x:color rgb="FFE6D59A"/>
      </x:left>
      <x:top style="thin">
        <x:color rgb="FFE6D59A"/>
      </x:top>
    </x:border>
    <x:border>
      <x:top style="thin">
        <x:color rgb="FFE6D59A"/>
      </x:top>
    </x:border>
    <x:border>
      <x:right style="thin">
        <x:color rgb="FFE6D59A"/>
      </x:right>
      <x:top style="thin">
        <x:color rgb="FFE6D59A"/>
      </x:top>
    </x:border>
    <x:border>
      <x:left style="thin">
        <x:color rgb="FFE6D59A"/>
      </x:left>
      <x:bottom style="thin">
        <x:color rgb="FFE6D59A"/>
      </x:bottom>
    </x:border>
    <x:border>
      <x:bottom style="thin">
        <x:color rgb="FFE6D59A"/>
      </x:bottom>
    </x:border>
    <x:border>
      <x:right style="thin">
        <x:color rgb="FFE6D59A"/>
      </x:right>
      <x:bottom style="thin">
        <x:color rgb="FFE6D59A"/>
      </x:bottom>
    </x:border>
  </x:borders>
  <x:cellStyleXfs count="1">
    <x:xf numFmtId="0" fontId="0" fillId="0" borderId="0"/>
  </x:cellStyleXfs>
  <x:cellXfs count="1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20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0" fontId="3" fillId="5" borderId="7" xfId="0" applyNumberFormat="1" applyFont="1" applyFill="1" applyBorder="1" applyAlignment="1">
      <x:alignment vertical="center"/>
    </x:xf>
    <x:xf numFmtId="0" fontId="3" fillId="5" borderId="8" xfId="0" applyNumberFormat="1" applyFont="1" applyFill="1" applyBorder="1" applyAlignment="1">
      <x:alignment vertical="center"/>
    </x:xf>
    <x:xf numFmtId="0" fontId="3" fillId="5" borderId="9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horizontal="center" vertical="center"/>
    </x:xf>
    <x:xf numFmtId="201" fontId="5" fillId="5" borderId="8" xfId="0" applyNumberFormat="1" applyFont="1" applyFill="1" applyBorder="1" applyAlignment="1">
      <x:alignment horizontal="center" vertical="center"/>
    </x:xf>
    <x:xf numFmtId="201" fontId="3" fillId="5" borderId="8" xfId="0" applyNumberFormat="1" applyFont="1" applyFill="1" applyBorder="1" applyAlignment="1">
      <x:alignment vertical="center"/>
    </x:xf>
    <x:xf numFmtId="0" fontId="6" fillId="5" borderId="8" xfId="0" applyNumberFormat="1" applyFont="1" applyFill="1" applyBorder="1" applyAlignment="1">
      <x:alignment vertical="center"/>
    </x:xf>
    <x:xf numFmtId="0" fontId="6" fillId="5" borderId="9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202" fontId="8" fillId="6" borderId="0" xfId="0" applyNumberFormat="1" applyFont="1" applyFill="1" applyBorder="1"/>
    <x:xf numFmtId="202" fontId="8" fillId="6" borderId="0" xfId="0" applyNumberFormat="1" applyFont="1" applyFill="1" applyBorder="1" applyAlignment="1">
      <x:alignment horizontal="center"/>
    </x:xf>
    <x:xf numFmtId="202" fontId="8" fillId="6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/>
    <x:xf numFmtId="0" fontId="8" fillId="2" borderId="10" xfId="0" applyNumberFormat="1" applyFont="1" applyFill="1" applyBorder="1"/>
    <x:xf numFmtId="0" fontId="8" fillId="2" borderId="10" xfId="0" applyNumberFormat="1" applyFont="1" applyFill="1" applyBorder="1" applyAlignment="1">
      <x:alignment wrapText="1"/>
    </x:xf>
    <x:xf numFmtId="0" fontId="8" fillId="2" borderId="10" xfId="0" applyNumberFormat="1" applyFont="1" applyFill="1" applyBorder="1" applyAlignment="1">
      <x:alignment horizontal="center" wrapText="1"/>
    </x:xf>
    <x:xf numFmtId="0" fontId="8" fillId="2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9" fillId="0" borderId="0" xfId="0" applyNumberFormat="1" applyFont="1" applyFill="1" applyBorder="1"/>
    <x:xf numFmtId="202" fontId="9" fillId="0" borderId="0" xfId="0" applyNumberFormat="1" applyFont="1" applyFill="1" applyBorder="1"/>
    <x:xf numFmtId="203" fontId="9" fillId="0" borderId="0" xfId="0" applyNumberFormat="1" applyFont="1" applyFill="1" applyBorder="1"/>
    <x:xf numFmtId="0" fontId="9" fillId="0" borderId="11" xfId="0" applyNumberFormat="1" applyFont="1" applyFill="1" applyBorder="1"/>
    <x:xf numFmtId="202" fontId="9" fillId="0" borderId="11" xfId="0" applyNumberFormat="1" applyFont="1" applyFill="1" applyBorder="1"/>
    <x:xf numFmtId="203" fontId="9" fillId="0" borderId="11" xfId="0" applyNumberFormat="1" applyFont="1" applyFill="1" applyBorder="1"/>
    <x:xf numFmtId="0" fontId="9" fillId="0" borderId="12" xfId="0" applyNumberFormat="1" applyFont="1" applyFill="1" applyBorder="1"/>
    <x:xf numFmtId="202" fontId="9" fillId="0" borderId="12" xfId="0" applyNumberFormat="1" applyFont="1" applyFill="1" applyBorder="1"/>
    <x:xf numFmtId="203" fontId="9" fillId="0" borderId="12" xfId="0" applyNumberFormat="1" applyFont="1" applyFill="1" applyBorder="1"/>
    <x:xf numFmtId="0" fontId="9" fillId="0" borderId="13" xfId="0" applyNumberFormat="1" applyFont="1" applyFill="1" applyBorder="1"/>
    <x:xf numFmtId="202" fontId="9" fillId="0" borderId="13" xfId="0" applyNumberFormat="1" applyFont="1" applyFill="1" applyBorder="1"/>
    <x:xf numFmtId="203" fontId="9" fillId="0" borderId="13" xfId="0" applyNumberFormat="1" applyFont="1" applyFill="1" applyBorder="1"/>
    <x:xf numFmtId="0" fontId="9" fillId="0" borderId="11" xfId="0" applyNumberFormat="1" applyFont="1" applyFill="1" applyBorder="1" applyAlignment="1">
      <x:alignment vertical="center"/>
    </x:xf>
    <x:xf numFmtId="202" fontId="9" fillId="0" borderId="11" xfId="0" applyNumberFormat="1" applyFont="1" applyFill="1" applyBorder="1" applyAlignment="1">
      <x:alignment vertical="center"/>
    </x:xf>
    <x:xf numFmtId="203" fontId="9" fillId="0" borderId="11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vertical="center"/>
    </x:xf>
    <x:xf numFmtId="202" fontId="9" fillId="0" borderId="12" xfId="0" applyNumberFormat="1" applyFont="1" applyFill="1" applyBorder="1" applyAlignment="1">
      <x:alignment vertical="center"/>
    </x:xf>
    <x:xf numFmtId="203" fontId="9" fillId="0" borderId="12" xfId="0" applyNumberFormat="1" applyFont="1" applyFill="1" applyBorder="1" applyAlignment="1">
      <x:alignment vertical="center"/>
    </x:xf>
    <x:xf numFmtId="0" fontId="9" fillId="0" borderId="13" xfId="0" applyNumberFormat="1" applyFont="1" applyFill="1" applyBorder="1" applyAlignment="1">
      <x:alignment vertical="center"/>
    </x:xf>
    <x:xf numFmtId="202" fontId="9" fillId="0" borderId="13" xfId="0" applyNumberFormat="1" applyFont="1" applyFill="1" applyBorder="1" applyAlignment="1">
      <x:alignment vertical="center"/>
    </x:xf>
    <x:xf numFmtId="203" fontId="9" fillId="0" borderId="13" xfId="0" applyNumberFormat="1" applyFont="1" applyFill="1" applyBorder="1" applyAlignment="1">
      <x:alignment vertical="center"/>
    </x:xf>
    <x:xf numFmtId="0" fontId="9" fillId="0" borderId="11" xfId="0" applyNumberFormat="1" applyFont="1" applyFill="1" applyBorder="1" applyAlignment="1">
      <x:alignment horizontal="center"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202" fontId="9" fillId="0" borderId="11" xfId="0" applyNumberFormat="1" applyFont="1" applyFill="1" applyBorder="1" applyAlignment="1">
      <x:alignment horizontal="center" vertical="center"/>
    </x:xf>
    <x:xf numFmtId="203" fontId="9" fillId="0" borderId="11" xfId="0" applyNumberFormat="1" applyFont="1" applyFill="1" applyBorder="1" applyAlignment="1">
      <x:alignment horizontal="center" vertical="center"/>
    </x:xf>
    <x:xf numFmtId="202" fontId="9" fillId="0" borderId="12" xfId="0" applyNumberFormat="1" applyFont="1" applyFill="1" applyBorder="1" applyAlignment="1">
      <x:alignment horizontal="center" vertical="center"/>
    </x:xf>
    <x:xf numFmtId="203" fontId="9" fillId="0" borderId="12" xfId="0" applyNumberFormat="1" applyFont="1" applyFill="1" applyBorder="1" applyAlignment="1">
      <x:alignment horizontal="center" vertical="center"/>
    </x:xf>
    <x:xf numFmtId="202" fontId="9" fillId="0" borderId="13" xfId="0" applyNumberFormat="1" applyFont="1" applyFill="1" applyBorder="1" applyAlignment="1">
      <x:alignment horizontal="center" vertical="center"/>
    </x:xf>
    <x:xf numFmtId="203" fontId="9" fillId="0" borderId="13" xfId="0" applyNumberFormat="1" applyFont="1" applyFill="1" applyBorder="1" applyAlignment="1">
      <x:alignment horizontal="center" vertical="center"/>
    </x:xf>
    <x:xf numFmtId="0" fontId="9" fillId="0" borderId="11" xfId="0" applyNumberFormat="1" applyFont="1" applyFill="1" applyBorder="1" applyAlignment="1">
      <x:alignment vertical="center" wrapText="1"/>
    </x:xf>
    <x:xf numFmtId="0" fontId="9" fillId="0" borderId="12" xfId="0" applyNumberFormat="1" applyFont="1" applyFill="1" applyBorder="1" applyAlignment="1">
      <x:alignment vertical="center" wrapText="1"/>
    </x:xf>
    <x:xf numFmtId="0" fontId="9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/>
    <x:xf numFmtId="204" fontId="0" fillId="0" borderId="14" xfId="0" applyNumberFormat="1" applyFont="1" applyFill="1" applyBorder="1"/>
    <x:xf numFmtId="204" fontId="0" fillId="0" borderId="14" xfId="0" applyNumberFormat="1" applyFont="1" applyFill="1" applyBorder="1" applyAlignment="1">
      <x:alignment horizontal="center"/>
    </x:xf>
    <x:xf numFmtId="204" fontId="0" fillId="0" borderId="14" xfId="0" applyNumberFormat="1" applyFont="1" applyFill="1" applyBorder="1" applyAlignment="1">
      <x:alignment horizontal="center" vertical="center"/>
    </x:xf>
    <x:xf numFmtId="0" fontId="9" fillId="7" borderId="12" xfId="0" applyNumberFormat="1" applyFont="1" applyFill="1" applyBorder="1" applyAlignment="1">
      <x:alignment horizontal="center" vertical="center"/>
    </x:xf>
    <x:xf numFmtId="0" fontId="9" fillId="7" borderId="12" xfId="0" applyNumberFormat="1" applyFont="1" applyFill="1" applyBorder="1" applyAlignment="1">
      <x:alignment vertical="center" wrapText="1"/>
    </x:xf>
    <x:xf numFmtId="202" fontId="9" fillId="7" borderId="12" xfId="0" applyNumberFormat="1" applyFont="1" applyFill="1" applyBorder="1" applyAlignment="1">
      <x:alignment horizontal="center" vertical="center"/>
    </x:xf>
    <x:xf numFmtId="203" fontId="9" fillId="7" borderId="12" xfId="0" applyNumberFormat="1" applyFont="1" applyFill="1" applyBorder="1" applyAlignment="1">
      <x:alignment horizontal="center" vertical="center"/>
    </x:xf>
    <x:xf numFmtId="0" fontId="9" fillId="7" borderId="13" xfId="0" applyNumberFormat="1" applyFont="1" applyFill="1" applyBorder="1" applyAlignment="1">
      <x:alignment horizontal="center" vertical="center"/>
    </x:xf>
    <x:xf numFmtId="0" fontId="9" fillId="7" borderId="13" xfId="0" applyNumberFormat="1" applyFont="1" applyFill="1" applyBorder="1" applyAlignment="1">
      <x:alignment vertical="center" wrapText="1"/>
    </x:xf>
    <x:xf numFmtId="202" fontId="9" fillId="7" borderId="13" xfId="0" applyNumberFormat="1" applyFont="1" applyFill="1" applyBorder="1" applyAlignment="1">
      <x:alignment horizontal="center" vertical="center"/>
    </x:xf>
    <x:xf numFmtId="203" fontId="9" fillId="7" borderId="13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15" xfId="0" applyNumberFormat="1" applyFont="1" applyFill="1" applyBorder="1"/>
    <x:xf numFmtId="0" fontId="11" fillId="12" borderId="16" xfId="0" applyNumberFormat="1" applyFont="1" applyFill="1" applyBorder="1"/>
    <x:xf numFmtId="0" fontId="11" fillId="12" borderId="17" xfId="0" applyNumberFormat="1" applyFont="1" applyFill="1" applyBorder="1"/>
    <x:xf numFmtId="0" fontId="11" fillId="12" borderId="18" xfId="0" applyNumberFormat="1" applyFont="1" applyFill="1" applyBorder="1"/>
    <x:xf numFmtId="0" fontId="11" fillId="12" borderId="19" xfId="0" applyNumberFormat="1" applyFont="1" applyFill="1" applyBorder="1"/>
    <x:xf numFmtId="0" fontId="11" fillId="12" borderId="20" xfId="0" applyNumberFormat="1" applyFont="1" applyFill="1" applyBorder="1"/>
    <x:xf numFmtId="0" fontId="11" fillId="12" borderId="15" xfId="0" applyNumberFormat="1" applyFont="1" applyFill="1" applyBorder="1" applyAlignment="1">
      <x:alignment wrapText="1"/>
    </x:xf>
    <x:xf numFmtId="0" fontId="11" fillId="12" borderId="16" xfId="0" applyNumberFormat="1" applyFont="1" applyFill="1" applyBorder="1" applyAlignment="1">
      <x:alignment wrapText="1"/>
    </x:xf>
    <x:xf numFmtId="0" fontId="11" fillId="12" borderId="17" xfId="0" applyNumberFormat="1" applyFont="1" applyFill="1" applyBorder="1" applyAlignment="1">
      <x:alignment wrapText="1"/>
    </x:xf>
    <x:xf numFmtId="0" fontId="11" fillId="12" borderId="18" xfId="0" applyNumberFormat="1" applyFont="1" applyFill="1" applyBorder="1" applyAlignment="1">
      <x:alignment wrapText="1"/>
    </x:xf>
    <x:xf numFmtId="0" fontId="11" fillId="12" borderId="19" xfId="0" applyNumberFormat="1" applyFont="1" applyFill="1" applyBorder="1" applyAlignment="1">
      <x:alignment wrapText="1"/>
    </x:xf>
    <x:xf numFmtId="0" fontId="11" fillId="12" borderId="20" xfId="0" applyNumberFormat="1" applyFont="1" applyFill="1" applyBorder="1" applyAlignment="1">
      <x:alignment wrapText="1"/>
    </x:xf>
    <x:xf numFmtId="0" fontId="11" fillId="12" borderId="15" xfId="0" applyNumberFormat="1" applyFont="1" applyFill="1" applyBorder="1" applyAlignment="1">
      <x:alignment vertical="center" wrapText="1"/>
    </x:xf>
    <x:xf numFmtId="0" fontId="11" fillId="12" borderId="16" xfId="0" applyNumberFormat="1" applyFont="1" applyFill="1" applyBorder="1" applyAlignment="1">
      <x:alignment vertical="center" wrapText="1"/>
    </x:xf>
    <x:xf numFmtId="0" fontId="11" fillId="12" borderId="17" xfId="0" applyNumberFormat="1" applyFont="1" applyFill="1" applyBorder="1" applyAlignment="1">
      <x:alignment vertical="center" wrapText="1"/>
    </x:xf>
    <x:xf numFmtId="0" fontId="11" fillId="12" borderId="18" xfId="0" applyNumberFormat="1" applyFont="1" applyFill="1" applyBorder="1" applyAlignment="1">
      <x:alignment vertical="center" wrapText="1"/>
    </x:xf>
    <x:xf numFmtId="0" fontId="11" fillId="12" borderId="19" xfId="0" applyNumberFormat="1" applyFont="1" applyFill="1" applyBorder="1" applyAlignment="1">
      <x:alignment vertical="center" wrapText="1"/>
    </x:xf>
    <x:xf numFmtId="0" fontId="11" fillId="12" borderId="2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216E39"/>
      </x:font>
      <x:fill>
        <x:patternFill patternType="solid">
          <x:bgColor rgb="FFDDF3E4"/>
        </x:patternFill>
      </x:fill>
    </x:dxf>
    <x:dxf>
      <x:font>
        <x:b/>
        <x:color rgb="FF1F5C99"/>
      </x:font>
      <x:fill>
        <x:patternFill patternType="solid">
          <x:bgColor rgb="FFDCEBFA"/>
        </x:patternFill>
      </x:fill>
    </x:dxf>
    <x:dxf>
      <x:font>
        <x:b/>
        <x:color rgb="FF9E2A2B"/>
      </x:font>
      <x:fill>
        <x:patternFill patternType="solid">
          <x:bgColor rgb="FFFBE1E3"/>
        </x:patternFill>
      </x:fill>
    </x:dxf>
    <x:dxf>
      <x:font>
        <x:color rgb="FF5B8FF9"/>
      </x:font>
      <x:fill>
        <x:patternFill patternType="solid">
          <x:bgColor rgb="FF5B8FF9"/>
        </x:patternFill>
      </x:fill>
    </x:dxf>
    <x:dxf>
      <x:font>
        <x:color rgb="FF61DDAA"/>
      </x:font>
      <x:fill>
        <x:patternFill patternType="solid">
          <x:bgColor rgb="FF61DDAA"/>
        </x:patternFill>
      </x:fill>
    </x:dxf>
    <x:dxf>
      <x:font>
        <x:color rgb="FFF6BD16"/>
      </x:font>
      <x:fill>
        <x:patternFill patternType="solid">
          <x:bgColor rgb="FFF6BD16"/>
        </x:patternFill>
      </x:fill>
    </x:dxf>
    <x:dxf>
      <x:font>
        <x:color rgb="FFE8684A"/>
      </x:font>
      <x:fill>
        <x:patternFill patternType="solid">
          <x:bgColor rgb="FFE8684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6254a089dc4da0" /><Relationship Type="http://schemas.openxmlformats.org/officeDocument/2006/relationships/theme" Target="/xl/theme/theme1.xml" Id="R0f4bf0d6fd154968" /><Relationship Type="http://schemas.openxmlformats.org/officeDocument/2006/relationships/sharedStrings" Target="/xl/sharedStrings.xml" Id="Raa1184a86f784f7a" /><Relationship Type="http://schemas.openxmlformats.org/officeDocument/2006/relationships/worksheet" Target="/xl/worksheets/sheet1.xml" Id="R1be0855cd18b453a" /></Relationships>
</file>

<file path=xl/tables/table1.xml><?xml version="1.0" encoding="utf-8"?>
<x:table xmlns:x="http://schemas.openxmlformats.org/spreadsheetml/2006/main" id="1" name="CronogramaTareas" displayName="CronogramaTareas" ref="A9:H23" headerRowCount="1" totalsRowCount="0" totalsRowShown="0">
  <x:autoFilter ref="A9:H23"/>
  <x:tableColumns count="8">
    <x:tableColumn id="1" name="ID"/>
    <x:tableColumn id="2" name="Actividad"/>
    <x:tableColumn id="3" name="Responsable"/>
    <x:tableColumn id="4" name="Sprint"/>
    <x:tableColumn id="5" name="Inicio"/>
    <x:tableColumn id="6" name="Fin"/>
    <x:tableColumn id="7" name="Duración&#10;(días)"/>
    <x:tableColumn id="8" name="Estado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7f12f1b9bb42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8" hidden="0" customWidth="1"/>
    <x:col min="3" max="3" width="25" hidden="0" customWidth="1"/>
    <x:col min="4" max="4" width="12" hidden="0" customWidth="1"/>
    <x:col min="5" max="5" width="12" hidden="0" customWidth="1"/>
    <x:col min="6" max="6" width="12" hidden="0" customWidth="1"/>
    <x:col min="7" max="7" width="11" hidden="0" customWidth="1"/>
    <x:col min="8" max="8" width="14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 ht="34" customHeight="1">
      <x:c r="A1" s="4" t="str">
        <x:v>CRONOGRAMA GANTT - ORGANIZADOR DE TAREAS DE LIMPIEZA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>
      <x:c r="A2" s="7" t="str">
        <x:v>Plan ágil de ocho semanas organizado en cuatro sprints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>
      <x:c r="A3" s="26" t="str">
        <x:v>Proyecto</x:v>
      </x:c>
      <x:c r="B3" s="19"/>
      <x:c r="C3" s="19" t="str">
        <x:v>Organizador de tareas de limpieza</x:v>
      </x:c>
      <x:c r="D3" s="19"/>
      <x:c r="E3" s="19"/>
      <x:c r="F3" s="19"/>
      <x:c r="G3" s="28" t="str">
        <x:v>Metodología</x:v>
      </x:c>
      <x:c r="H3" s="19"/>
      <x:c r="I3" s="19" t="str">
        <x:v>Ágil basada en Scrum</x:v>
      </x:c>
      <x:c r="J3" s="19"/>
      <x:c r="K3" s="19"/>
      <x:c r="L3" s="19"/>
      <x:c r="M3" s="19"/>
      <x:c r="N3" s="19"/>
      <x:c r="O3" s="19"/>
      <x:c r="P3" s="20"/>
    </x:row>
    <x:row r="4">
      <x:c r="A4" s="30" t="str">
        <x:v>Inicio propuesto</x:v>
      </x:c>
      <x:c r="B4" s="22"/>
      <x:c r="C4" s="23" t="n">
        <x:v>46251</x:v>
      </x:c>
      <x:c r="D4" s="23"/>
      <x:c r="E4" s="32" t="str">
        <x:v>Duración</x:v>
      </x:c>
      <x:c r="F4" s="22"/>
      <x:c r="G4" s="22" t="str">
        <x:v>8 semanas</x:v>
      </x:c>
      <x:c r="H4" s="22"/>
      <x:c r="I4" s="32" t="str">
        <x:v>Sprints</x:v>
      </x:c>
      <x:c r="J4" s="22"/>
      <x:c r="K4" s="22" t="n">
        <x:v>4</x:v>
      </x:c>
      <x:c r="L4" s="22"/>
      <x:c r="M4" s="32" t="str">
        <x:v>Estado inicial</x:v>
      </x:c>
      <x:c r="N4" s="22"/>
      <x:c r="O4" s="22" t="str">
        <x:v>Planeada</x:v>
      </x:c>
      <x:c r="P4" s="24"/>
    </x:row>
    <x:row r="6" ht="25" customHeight="1">
      <x:c r="A6" s="41" t="str">
        <x:v>Total de actividades</x:v>
      </x:c>
      <x:c r="B6" s="39"/>
      <x:c r="C6" s="44" t="n">
        <x:f>COUNTA(B10:B23)</x:f>
        <x:v>14</x:v>
      </x:c>
      <x:c r="D6" s="39"/>
      <x:c r="E6" s="42" t="str">
        <x:v>Completadas</x:v>
      </x:c>
      <x:c r="F6" s="39"/>
      <x:c r="G6" s="44" t="n">
        <x:f>COUNTIF(H10:H23,"Completada")</x:f>
        <x:v>0</x:v>
      </x:c>
      <x:c r="H6" s="39"/>
      <x:c r="I6" s="42" t="str">
        <x:v>Progreso</x:v>
      </x:c>
      <x:c r="J6" s="39"/>
      <x:c r="K6" s="45" t="n">
        <x:f>IFERROR(G6/C6,0)</x:f>
        <x:v>0</x:v>
      </x:c>
      <x:c r="L6" s="46"/>
      <x:c r="M6" s="47" t="str">
        <x:v>Actualice la columna Estado para reflejar el avance</x:v>
      </x:c>
      <x:c r="N6" s="47"/>
      <x:c r="O6" s="47"/>
      <x:c r="P6" s="48"/>
    </x:row>
    <x:row r="8">
      <x:c r="A8" s="52" t="str">
        <x:v>INICIO DE CADA SEMANA</x:v>
      </x:c>
      <x:c r="B8" s="52"/>
      <x:c r="C8" s="52"/>
      <x:c r="D8" s="52"/>
      <x:c r="E8" s="52"/>
      <x:c r="F8" s="52"/>
      <x:c r="G8" s="52"/>
      <x:c r="H8" s="52"/>
      <x:c r="I8" s="56" t="n">
        <x:v>46251</x:v>
      </x:c>
      <x:c r="J8" s="56" t="n">
        <x:v>46258</x:v>
      </x:c>
      <x:c r="K8" s="56" t="n">
        <x:v>46265</x:v>
      </x:c>
      <x:c r="L8" s="56" t="n">
        <x:v>46272</x:v>
      </x:c>
      <x:c r="M8" s="56" t="n">
        <x:v>46279</x:v>
      </x:c>
      <x:c r="N8" s="56" t="n">
        <x:v>46286</x:v>
      </x:c>
      <x:c r="O8" s="56" t="n">
        <x:v>46293</x:v>
      </x:c>
      <x:c r="P8" s="56" t="n">
        <x:v>46300</x:v>
      </x:c>
    </x:row>
    <x:row r="9" ht="31" customHeight="1">
      <x:c r="A9" s="61" t="str">
        <x:v>ID</x:v>
      </x:c>
      <x:c r="B9" s="61" t="str">
        <x:v>Actividad</x:v>
      </x:c>
      <x:c r="C9" s="61" t="str">
        <x:v>Responsable</x:v>
      </x:c>
      <x:c r="D9" s="61" t="str">
        <x:v>Sprint</x:v>
      </x:c>
      <x:c r="E9" s="61" t="str">
        <x:v>Inicio</x:v>
      </x:c>
      <x:c r="F9" s="61" t="str">
        <x:v>Fin</x:v>
      </x:c>
      <x:c r="G9" s="61" t="str">
        <x:v>Duración
(días)</x:v>
      </x:c>
      <x:c r="H9" s="61" t="str">
        <x:v>Estado</x:v>
      </x:c>
      <x:c r="I9" s="61" t="str">
        <x:v>Semana 1</x:v>
      </x:c>
      <x:c r="J9" s="61" t="str">
        <x:v>Semana 2</x:v>
      </x:c>
      <x:c r="K9" s="61" t="str">
        <x:v>Semana 3</x:v>
      </x:c>
      <x:c r="L9" s="61" t="str">
        <x:v>Semana 4</x:v>
      </x:c>
      <x:c r="M9" s="61" t="str">
        <x:v>Semana 5</x:v>
      </x:c>
      <x:c r="N9" s="61" t="str">
        <x:v>Semana 6</x:v>
      </x:c>
      <x:c r="O9" s="61" t="str">
        <x:v>Semana 7</x:v>
      </x:c>
      <x:c r="P9" s="61" t="str">
        <x:v>Semana 8</x:v>
      </x:c>
    </x:row>
    <x:row r="10" ht="30" customHeight="1">
      <x:c r="A10" s="85" t="n">
        <x:v>1</x:v>
      </x:c>
      <x:c r="B10" s="94" t="str">
        <x:v>Definición del proyecto</x:v>
      </x:c>
      <x:c r="C10" s="94" t="str">
        <x:v>Product Owner</x:v>
      </x:c>
      <x:c r="D10" s="85" t="str">
        <x:v>Sprint 1</x:v>
      </x:c>
      <x:c r="E10" s="88" t="n">
        <x:v>46251</x:v>
      </x:c>
      <x:c r="F10" s="88" t="n">
        <x:v>46253</x:v>
      </x:c>
      <x:c r="G10" s="89" t="n">
        <x:f>F10-E10+1</x:f>
        <x:v>3</x:v>
      </x:c>
      <x:c r="H10" s="85" t="str">
        <x:v>Planeada</x:v>
      </x:c>
      <x:c r="I10" s="100" t="n">
        <x:f>IF(AND($E10&lt;=I$8+6,$F10&gt;=I$8),1,"")</x:f>
        <x:v>1</x:v>
      </x:c>
      <x:c r="J10" s="100" t="str">
        <x:f>IF(AND($E10&lt;=J$8+6,$F10&gt;=J$8),1,"")</x:f>
      </x:c>
      <x:c r="K10" s="100" t="str">
        <x:f>IF(AND($E10&lt;=K$8+6,$F10&gt;=K$8),1,"")</x:f>
      </x:c>
      <x:c r="L10" s="100" t="str">
        <x:f>IF(AND($E10&lt;=L$8+6,$F10&gt;=L$8),1,"")</x:f>
      </x:c>
      <x:c r="M10" s="100" t="str">
        <x:f>IF(AND($E10&lt;=M$8+6,$F10&gt;=M$8),1,"")</x:f>
      </x:c>
      <x:c r="N10" s="100" t="str">
        <x:f>IF(AND($E10&lt;=N$8+6,$F10&gt;=N$8),1,"")</x:f>
      </x:c>
      <x:c r="O10" s="100" t="str">
        <x:f>IF(AND($E10&lt;=O$8+6,$F10&gt;=O$8),1,"")</x:f>
      </x:c>
      <x:c r="P10" s="100" t="str">
        <x:f>IF(AND($E10&lt;=P$8+6,$F10&gt;=P$8),1,"")</x:f>
      </x:c>
    </x:row>
    <x:row r="11" ht="30" customHeight="1">
      <x:c r="A11" s="101" t="n">
        <x:v>2</x:v>
      </x:c>
      <x:c r="B11" s="102" t="str">
        <x:v>Levantamiento de requisitos y Product Backlog</x:v>
      </x:c>
      <x:c r="C11" s="102" t="str">
        <x:v>Product Owner / Equipo</x:v>
      </x:c>
      <x:c r="D11" s="101" t="str">
        <x:v>Sprint 1</x:v>
      </x:c>
      <x:c r="E11" s="103" t="n">
        <x:v>46251</x:v>
      </x:c>
      <x:c r="F11" s="103" t="n">
        <x:v>46255</x:v>
      </x:c>
      <x:c r="G11" s="104" t="n">
        <x:f>F11-E11+1</x:f>
        <x:v>5</x:v>
      </x:c>
      <x:c r="H11" s="101" t="str">
        <x:v>Planeada</x:v>
      </x:c>
      <x:c r="I11" s="100" t="n">
        <x:f>IF(AND($E11&lt;=I$8+6,$F11&gt;=I$8),1,"")</x:f>
        <x:v>1</x:v>
      </x:c>
      <x:c r="J11" s="100" t="str">
        <x:f>IF(AND($E11&lt;=J$8+6,$F11&gt;=J$8),1,"")</x:f>
      </x:c>
      <x:c r="K11" s="100" t="str">
        <x:f>IF(AND($E11&lt;=K$8+6,$F11&gt;=K$8),1,"")</x:f>
      </x:c>
      <x:c r="L11" s="100" t="str">
        <x:f>IF(AND($E11&lt;=L$8+6,$F11&gt;=L$8),1,"")</x:f>
      </x:c>
      <x:c r="M11" s="100" t="str">
        <x:f>IF(AND($E11&lt;=M$8+6,$F11&gt;=M$8),1,"")</x:f>
      </x:c>
      <x:c r="N11" s="100" t="str">
        <x:f>IF(AND($E11&lt;=N$8+6,$F11&gt;=N$8),1,"")</x:f>
      </x:c>
      <x:c r="O11" s="100" t="str">
        <x:f>IF(AND($E11&lt;=O$8+6,$F11&gt;=O$8),1,"")</x:f>
      </x:c>
      <x:c r="P11" s="100" t="str">
        <x:f>IF(AND($E11&lt;=P$8+6,$F11&gt;=P$8),1,"")</x:f>
      </x:c>
    </x:row>
    <x:row r="12" ht="30" customHeight="1">
      <x:c r="A12" s="86" t="n">
        <x:v>3</x:v>
      </x:c>
      <x:c r="B12" s="95" t="str">
        <x:v>Stakeholders, riesgos y criterios de aceptación</x:v>
      </x:c>
      <x:c r="C12" s="95" t="str">
        <x:v>Scrum Master / Equipo</x:v>
      </x:c>
      <x:c r="D12" s="86" t="str">
        <x:v>Sprint 1</x:v>
      </x:c>
      <x:c r="E12" s="90" t="n">
        <x:v>46254</x:v>
      </x:c>
      <x:c r="F12" s="90" t="n">
        <x:v>46258</x:v>
      </x:c>
      <x:c r="G12" s="91" t="n">
        <x:f>F12-E12+1</x:f>
        <x:v>5</x:v>
      </x:c>
      <x:c r="H12" s="86" t="str">
        <x:v>Planeada</x:v>
      </x:c>
      <x:c r="I12" s="100" t="n">
        <x:f>IF(AND($E12&lt;=I$8+6,$F12&gt;=I$8),1,"")</x:f>
        <x:v>1</x:v>
      </x:c>
      <x:c r="J12" s="100" t="n">
        <x:f>IF(AND($E12&lt;=J$8+6,$F12&gt;=J$8),1,"")</x:f>
        <x:v>1</x:v>
      </x:c>
      <x:c r="K12" s="100" t="str">
        <x:f>IF(AND($E12&lt;=K$8+6,$F12&gt;=K$8),1,"")</x:f>
      </x:c>
      <x:c r="L12" s="100" t="str">
        <x:f>IF(AND($E12&lt;=L$8+6,$F12&gt;=L$8),1,"")</x:f>
      </x:c>
      <x:c r="M12" s="100" t="str">
        <x:f>IF(AND($E12&lt;=M$8+6,$F12&gt;=M$8),1,"")</x:f>
      </x:c>
      <x:c r="N12" s="100" t="str">
        <x:f>IF(AND($E12&lt;=N$8+6,$F12&gt;=N$8),1,"")</x:f>
      </x:c>
      <x:c r="O12" s="100" t="str">
        <x:f>IF(AND($E12&lt;=O$8+6,$F12&gt;=O$8),1,"")</x:f>
      </x:c>
      <x:c r="P12" s="100" t="str">
        <x:f>IF(AND($E12&lt;=P$8+6,$F12&gt;=P$8),1,"")</x:f>
      </x:c>
    </x:row>
    <x:row r="13" ht="30" customHeight="1">
      <x:c r="A13" s="101" t="n">
        <x:v>4</x:v>
      </x:c>
      <x:c r="B13" s="102" t="str">
        <x:v>Prototipo de interfaz y experiencia de usuario</x:v>
      </x:c>
      <x:c r="C13" s="102" t="str">
        <x:v>Frontend / UX</x:v>
      </x:c>
      <x:c r="D13" s="101" t="str">
        <x:v>Sprint 1</x:v>
      </x:c>
      <x:c r="E13" s="103" t="n">
        <x:v>46258</x:v>
      </x:c>
      <x:c r="F13" s="103" t="n">
        <x:v>46262</x:v>
      </x:c>
      <x:c r="G13" s="104" t="n">
        <x:f>F13-E13+1</x:f>
        <x:v>5</x:v>
      </x:c>
      <x:c r="H13" s="101" t="str">
        <x:v>Planeada</x:v>
      </x:c>
      <x:c r="I13" s="100" t="str">
        <x:f>IF(AND($E13&lt;=I$8+6,$F13&gt;=I$8),1,"")</x:f>
      </x:c>
      <x:c r="J13" s="100" t="n">
        <x:f>IF(AND($E13&lt;=J$8+6,$F13&gt;=J$8),1,"")</x:f>
        <x:v>1</x:v>
      </x:c>
      <x:c r="K13" s="100" t="str">
        <x:f>IF(AND($E13&lt;=K$8+6,$F13&gt;=K$8),1,"")</x:f>
      </x:c>
      <x:c r="L13" s="100" t="str">
        <x:f>IF(AND($E13&lt;=L$8+6,$F13&gt;=L$8),1,"")</x:f>
      </x:c>
      <x:c r="M13" s="100" t="str">
        <x:f>IF(AND($E13&lt;=M$8+6,$F13&gt;=M$8),1,"")</x:f>
      </x:c>
      <x:c r="N13" s="100" t="str">
        <x:f>IF(AND($E13&lt;=N$8+6,$F13&gt;=N$8),1,"")</x:f>
      </x:c>
      <x:c r="O13" s="100" t="str">
        <x:f>IF(AND($E13&lt;=O$8+6,$F13&gt;=O$8),1,"")</x:f>
      </x:c>
      <x:c r="P13" s="100" t="str">
        <x:f>IF(AND($E13&lt;=P$8+6,$F13&gt;=P$8),1,"")</x:f>
      </x:c>
    </x:row>
    <x:row r="14" ht="30" customHeight="1">
      <x:c r="A14" s="86" t="n">
        <x:v>5</x:v>
      </x:c>
      <x:c r="B14" s="95" t="str">
        <x:v>Arquitectura y modelo inicial de datos</x:v>
      </x:c>
      <x:c r="C14" s="95" t="str">
        <x:v>Backend / Datos</x:v>
      </x:c>
      <x:c r="D14" s="86" t="str">
        <x:v>Sprint 1</x:v>
      </x:c>
      <x:c r="E14" s="90" t="n">
        <x:v>46258</x:v>
      </x:c>
      <x:c r="F14" s="90" t="n">
        <x:v>46264</x:v>
      </x:c>
      <x:c r="G14" s="91" t="n">
        <x:f>F14-E14+1</x:f>
        <x:v>7</x:v>
      </x:c>
      <x:c r="H14" s="86" t="str">
        <x:v>Planeada</x:v>
      </x:c>
      <x:c r="I14" s="100" t="str">
        <x:f>IF(AND($E14&lt;=I$8+6,$F14&gt;=I$8),1,"")</x:f>
      </x:c>
      <x:c r="J14" s="100" t="n">
        <x:f>IF(AND($E14&lt;=J$8+6,$F14&gt;=J$8),1,"")</x:f>
        <x:v>1</x:v>
      </x:c>
      <x:c r="K14" s="100" t="str">
        <x:f>IF(AND($E14&lt;=K$8+6,$F14&gt;=K$8),1,"")</x:f>
      </x:c>
      <x:c r="L14" s="100" t="str">
        <x:f>IF(AND($E14&lt;=L$8+6,$F14&gt;=L$8),1,"")</x:f>
      </x:c>
      <x:c r="M14" s="100" t="str">
        <x:f>IF(AND($E14&lt;=M$8+6,$F14&gt;=M$8),1,"")</x:f>
      </x:c>
      <x:c r="N14" s="100" t="str">
        <x:f>IF(AND($E14&lt;=N$8+6,$F14&gt;=N$8),1,"")</x:f>
      </x:c>
      <x:c r="O14" s="100" t="str">
        <x:f>IF(AND($E14&lt;=O$8+6,$F14&gt;=O$8),1,"")</x:f>
      </x:c>
      <x:c r="P14" s="100" t="str">
        <x:f>IF(AND($E14&lt;=P$8+6,$F14&gt;=P$8),1,"")</x:f>
      </x:c>
    </x:row>
    <x:row r="15" ht="30" customHeight="1">
      <x:c r="A15" s="101" t="n">
        <x:v>6</x:v>
      </x:c>
      <x:c r="B15" s="102" t="str">
        <x:v>Acceso y gestión de usuarios</x:v>
      </x:c>
      <x:c r="C15" s="102" t="str">
        <x:v>Backend + Frontend</x:v>
      </x:c>
      <x:c r="D15" s="101" t="str">
        <x:v>Sprint 2</x:v>
      </x:c>
      <x:c r="E15" s="103" t="n">
        <x:v>46265</x:v>
      </x:c>
      <x:c r="F15" s="103" t="n">
        <x:v>46269</x:v>
      </x:c>
      <x:c r="G15" s="104" t="n">
        <x:f>F15-E15+1</x:f>
        <x:v>5</x:v>
      </x:c>
      <x:c r="H15" s="101" t="str">
        <x:v>Planeada</x:v>
      </x:c>
      <x:c r="I15" s="100" t="str">
        <x:f>IF(AND($E15&lt;=I$8+6,$F15&gt;=I$8),1,"")</x:f>
      </x:c>
      <x:c r="J15" s="100" t="str">
        <x:f>IF(AND($E15&lt;=J$8+6,$F15&gt;=J$8),1,"")</x:f>
      </x:c>
      <x:c r="K15" s="100" t="n">
        <x:f>IF(AND($E15&lt;=K$8+6,$F15&gt;=K$8),1,"")</x:f>
        <x:v>1</x:v>
      </x:c>
      <x:c r="L15" s="100" t="str">
        <x:f>IF(AND($E15&lt;=L$8+6,$F15&gt;=L$8),1,"")</x:f>
      </x:c>
      <x:c r="M15" s="100" t="str">
        <x:f>IF(AND($E15&lt;=M$8+6,$F15&gt;=M$8),1,"")</x:f>
      </x:c>
      <x:c r="N15" s="100" t="str">
        <x:f>IF(AND($E15&lt;=N$8+6,$F15&gt;=N$8),1,"")</x:f>
      </x:c>
      <x:c r="O15" s="100" t="str">
        <x:f>IF(AND($E15&lt;=O$8+6,$F15&gt;=O$8),1,"")</x:f>
      </x:c>
      <x:c r="P15" s="100" t="str">
        <x:f>IF(AND($E15&lt;=P$8+6,$F15&gt;=P$8),1,"")</x:f>
      </x:c>
    </x:row>
    <x:row r="16" ht="30" customHeight="1">
      <x:c r="A16" s="86" t="n">
        <x:v>7</x:v>
      </x:c>
      <x:c r="B16" s="95" t="str">
        <x:v>Crear, consultar y editar tareas de limpieza</x:v>
      </x:c>
      <x:c r="C16" s="95" t="str">
        <x:v>Equipo de desarrollo</x:v>
      </x:c>
      <x:c r="D16" s="86" t="str">
        <x:v>Sprint 2</x:v>
      </x:c>
      <x:c r="E16" s="90" t="n">
        <x:v>46265</x:v>
      </x:c>
      <x:c r="F16" s="90" t="n">
        <x:v>46276</x:v>
      </x:c>
      <x:c r="G16" s="91" t="n">
        <x:f>F16-E16+1</x:f>
        <x:v>12</x:v>
      </x:c>
      <x:c r="H16" s="86" t="str">
        <x:v>Planeada</x:v>
      </x:c>
      <x:c r="I16" s="100" t="str">
        <x:f>IF(AND($E16&lt;=I$8+6,$F16&gt;=I$8),1,"")</x:f>
      </x:c>
      <x:c r="J16" s="100" t="str">
        <x:f>IF(AND($E16&lt;=J$8+6,$F16&gt;=J$8),1,"")</x:f>
      </x:c>
      <x:c r="K16" s="100" t="n">
        <x:f>IF(AND($E16&lt;=K$8+6,$F16&gt;=K$8),1,"")</x:f>
        <x:v>1</x:v>
      </x:c>
      <x:c r="L16" s="100" t="n">
        <x:f>IF(AND($E16&lt;=L$8+6,$F16&gt;=L$8),1,"")</x:f>
        <x:v>1</x:v>
      </x:c>
      <x:c r="M16" s="100" t="str">
        <x:f>IF(AND($E16&lt;=M$8+6,$F16&gt;=M$8),1,"")</x:f>
      </x:c>
      <x:c r="N16" s="100" t="str">
        <x:f>IF(AND($E16&lt;=N$8+6,$F16&gt;=N$8),1,"")</x:f>
      </x:c>
      <x:c r="O16" s="100" t="str">
        <x:f>IF(AND($E16&lt;=O$8+6,$F16&gt;=O$8),1,"")</x:f>
      </x:c>
      <x:c r="P16" s="100" t="str">
        <x:f>IF(AND($E16&lt;=P$8+6,$F16&gt;=P$8),1,"")</x:f>
      </x:c>
    </x:row>
    <x:row r="17" ht="30" customHeight="1">
      <x:c r="A17" s="101" t="n">
        <x:v>8</x:v>
      </x:c>
      <x:c r="B17" s="102" t="str">
        <x:v>Asignación de responsables y reglas de frecuencia</x:v>
      </x:c>
      <x:c r="C17" s="102" t="str">
        <x:v>Backend / Datos</x:v>
      </x:c>
      <x:c r="D17" s="101" t="str">
        <x:v>Sprint 2</x:v>
      </x:c>
      <x:c r="E17" s="103" t="n">
        <x:v>46272</x:v>
      </x:c>
      <x:c r="F17" s="103" t="n">
        <x:v>46278</x:v>
      </x:c>
      <x:c r="G17" s="104" t="n">
        <x:f>F17-E17+1</x:f>
        <x:v>7</x:v>
      </x:c>
      <x:c r="H17" s="101" t="str">
        <x:v>Planeada</x:v>
      </x:c>
      <x:c r="I17" s="100" t="str">
        <x:f>IF(AND($E17&lt;=I$8+6,$F17&gt;=I$8),1,"")</x:f>
      </x:c>
      <x:c r="J17" s="100" t="str">
        <x:f>IF(AND($E17&lt;=J$8+6,$F17&gt;=J$8),1,"")</x:f>
      </x:c>
      <x:c r="K17" s="100" t="str">
        <x:f>IF(AND($E17&lt;=K$8+6,$F17&gt;=K$8),1,"")</x:f>
      </x:c>
      <x:c r="L17" s="100" t="n">
        <x:f>IF(AND($E17&lt;=L$8+6,$F17&gt;=L$8),1,"")</x:f>
        <x:v>1</x:v>
      </x:c>
      <x:c r="M17" s="100" t="str">
        <x:f>IF(AND($E17&lt;=M$8+6,$F17&gt;=M$8),1,"")</x:f>
      </x:c>
      <x:c r="N17" s="100" t="str">
        <x:f>IF(AND($E17&lt;=N$8+6,$F17&gt;=N$8),1,"")</x:f>
      </x:c>
      <x:c r="O17" s="100" t="str">
        <x:f>IF(AND($E17&lt;=O$8+6,$F17&gt;=O$8),1,"")</x:f>
      </x:c>
      <x:c r="P17" s="100" t="str">
        <x:f>IF(AND($E17&lt;=P$8+6,$F17&gt;=P$8),1,"")</x:f>
      </x:c>
    </x:row>
    <x:row r="18" ht="30" customHeight="1">
      <x:c r="A18" s="86" t="n">
        <x:v>9</x:v>
      </x:c>
      <x:c r="B18" s="95" t="str">
        <x:v>Vista de tareas pendientes</x:v>
      </x:c>
      <x:c r="C18" s="95" t="str">
        <x:v>Frontend / UX</x:v>
      </x:c>
      <x:c r="D18" s="86" t="str">
        <x:v>Sprint 3</x:v>
      </x:c>
      <x:c r="E18" s="90" t="n">
        <x:v>46279</x:v>
      </x:c>
      <x:c r="F18" s="90" t="n">
        <x:v>46283</x:v>
      </x:c>
      <x:c r="G18" s="91" t="n">
        <x:f>F18-E18+1</x:f>
        <x:v>5</x:v>
      </x:c>
      <x:c r="H18" s="86" t="str">
        <x:v>Planeada</x:v>
      </x:c>
      <x:c r="I18" s="100" t="str">
        <x:f>IF(AND($E18&lt;=I$8+6,$F18&gt;=I$8),1,"")</x:f>
      </x:c>
      <x:c r="J18" s="100" t="str">
        <x:f>IF(AND($E18&lt;=J$8+6,$F18&gt;=J$8),1,"")</x:f>
      </x:c>
      <x:c r="K18" s="100" t="str">
        <x:f>IF(AND($E18&lt;=K$8+6,$F18&gt;=K$8),1,"")</x:f>
      </x:c>
      <x:c r="L18" s="100" t="str">
        <x:f>IF(AND($E18&lt;=L$8+6,$F18&gt;=L$8),1,"")</x:f>
      </x:c>
      <x:c r="M18" s="100" t="n">
        <x:f>IF(AND($E18&lt;=M$8+6,$F18&gt;=M$8),1,"")</x:f>
        <x:v>1</x:v>
      </x:c>
      <x:c r="N18" s="100" t="str">
        <x:f>IF(AND($E18&lt;=N$8+6,$F18&gt;=N$8),1,"")</x:f>
      </x:c>
      <x:c r="O18" s="100" t="str">
        <x:f>IF(AND($E18&lt;=O$8+6,$F18&gt;=O$8),1,"")</x:f>
      </x:c>
      <x:c r="P18" s="100" t="str">
        <x:f>IF(AND($E18&lt;=P$8+6,$F18&gt;=P$8),1,"")</x:f>
      </x:c>
    </x:row>
    <x:row r="19" ht="30" customHeight="1">
      <x:c r="A19" s="101" t="n">
        <x:v>10</x:v>
      </x:c>
      <x:c r="B19" s="102" t="str">
        <x:v>Marcar como completada y consultar historial</x:v>
      </x:c>
      <x:c r="C19" s="102" t="str">
        <x:v>Equipo de desarrollo</x:v>
      </x:c>
      <x:c r="D19" s="101" t="str">
        <x:v>Sprint 3</x:v>
      </x:c>
      <x:c r="E19" s="103" t="n">
        <x:v>46279</x:v>
      </x:c>
      <x:c r="F19" s="103" t="n">
        <x:v>46289</x:v>
      </x:c>
      <x:c r="G19" s="104" t="n">
        <x:f>F19-E19+1</x:f>
        <x:v>11</x:v>
      </x:c>
      <x:c r="H19" s="101" t="str">
        <x:v>Planeada</x:v>
      </x:c>
      <x:c r="I19" s="100" t="str">
        <x:f>IF(AND($E19&lt;=I$8+6,$F19&gt;=I$8),1,"")</x:f>
      </x:c>
      <x:c r="J19" s="100" t="str">
        <x:f>IF(AND($E19&lt;=J$8+6,$F19&gt;=J$8),1,"")</x:f>
      </x:c>
      <x:c r="K19" s="100" t="str">
        <x:f>IF(AND($E19&lt;=K$8+6,$F19&gt;=K$8),1,"")</x:f>
      </x:c>
      <x:c r="L19" s="100" t="str">
        <x:f>IF(AND($E19&lt;=L$8+6,$F19&gt;=L$8),1,"")</x:f>
      </x:c>
      <x:c r="M19" s="100" t="n">
        <x:f>IF(AND($E19&lt;=M$8+6,$F19&gt;=M$8),1,"")</x:f>
        <x:v>1</x:v>
      </x:c>
      <x:c r="N19" s="100" t="n">
        <x:f>IF(AND($E19&lt;=N$8+6,$F19&gt;=N$8),1,"")</x:f>
        <x:v>1</x:v>
      </x:c>
      <x:c r="O19" s="100" t="str">
        <x:f>IF(AND($E19&lt;=O$8+6,$F19&gt;=O$8),1,"")</x:f>
      </x:c>
      <x:c r="P19" s="100" t="str">
        <x:f>IF(AND($E19&lt;=P$8+6,$F19&gt;=P$8),1,"")</x:f>
      </x:c>
    </x:row>
    <x:row r="20" ht="30" customHeight="1">
      <x:c r="A20" s="86" t="n">
        <x:v>11</x:v>
      </x:c>
      <x:c r="B20" s="95" t="str">
        <x:v>Pruebas de integración y usabilidad</x:v>
      </x:c>
      <x:c r="C20" s="95" t="str">
        <x:v>QA / Equipo</x:v>
      </x:c>
      <x:c r="D20" s="86" t="str">
        <x:v>Sprint 3</x:v>
      </x:c>
      <x:c r="E20" s="90" t="n">
        <x:v>46286</x:v>
      </x:c>
      <x:c r="F20" s="90" t="n">
        <x:v>46292</x:v>
      </x:c>
      <x:c r="G20" s="91" t="n">
        <x:f>F20-E20+1</x:f>
        <x:v>7</x:v>
      </x:c>
      <x:c r="H20" s="86" t="str">
        <x:v>Planeada</x:v>
      </x:c>
      <x:c r="I20" s="100" t="str">
        <x:f>IF(AND($E20&lt;=I$8+6,$F20&gt;=I$8),1,"")</x:f>
      </x:c>
      <x:c r="J20" s="100" t="str">
        <x:f>IF(AND($E20&lt;=J$8+6,$F20&gt;=J$8),1,"")</x:f>
      </x:c>
      <x:c r="K20" s="100" t="str">
        <x:f>IF(AND($E20&lt;=K$8+6,$F20&gt;=K$8),1,"")</x:f>
      </x:c>
      <x:c r="L20" s="100" t="str">
        <x:f>IF(AND($E20&lt;=L$8+6,$F20&gt;=L$8),1,"")</x:f>
      </x:c>
      <x:c r="M20" s="100" t="str">
        <x:f>IF(AND($E20&lt;=M$8+6,$F20&gt;=M$8),1,"")</x:f>
      </x:c>
      <x:c r="N20" s="100" t="n">
        <x:f>IF(AND($E20&lt;=N$8+6,$F20&gt;=N$8),1,"")</x:f>
        <x:v>1</x:v>
      </x:c>
      <x:c r="O20" s="100" t="str">
        <x:f>IF(AND($E20&lt;=O$8+6,$F20&gt;=O$8),1,"")</x:f>
      </x:c>
      <x:c r="P20" s="100" t="str">
        <x:f>IF(AND($E20&lt;=P$8+6,$F20&gt;=P$8),1,"")</x:f>
      </x:c>
    </x:row>
    <x:row r="21" ht="30" customHeight="1">
      <x:c r="A21" s="101" t="n">
        <x:v>12</x:v>
      </x:c>
      <x:c r="B21" s="102" t="str">
        <x:v>Correcciones, permisos y revisión de seguridad</x:v>
      </x:c>
      <x:c r="C21" s="102" t="str">
        <x:v>Equipo de desarrollo</x:v>
      </x:c>
      <x:c r="D21" s="101" t="str">
        <x:v>Sprint 4</x:v>
      </x:c>
      <x:c r="E21" s="103" t="n">
        <x:v>46293</x:v>
      </x:c>
      <x:c r="F21" s="103" t="n">
        <x:v>46299</x:v>
      </x:c>
      <x:c r="G21" s="104" t="n">
        <x:f>F21-E21+1</x:f>
        <x:v>7</x:v>
      </x:c>
      <x:c r="H21" s="101" t="str">
        <x:v>Planeada</x:v>
      </x:c>
      <x:c r="I21" s="100" t="str">
        <x:f>IF(AND($E21&lt;=I$8+6,$F21&gt;=I$8),1,"")</x:f>
      </x:c>
      <x:c r="J21" s="100" t="str">
        <x:f>IF(AND($E21&lt;=J$8+6,$F21&gt;=J$8),1,"")</x:f>
      </x:c>
      <x:c r="K21" s="100" t="str">
        <x:f>IF(AND($E21&lt;=K$8+6,$F21&gt;=K$8),1,"")</x:f>
      </x:c>
      <x:c r="L21" s="100" t="str">
        <x:f>IF(AND($E21&lt;=L$8+6,$F21&gt;=L$8),1,"")</x:f>
      </x:c>
      <x:c r="M21" s="100" t="str">
        <x:f>IF(AND($E21&lt;=M$8+6,$F21&gt;=M$8),1,"")</x:f>
      </x:c>
      <x:c r="N21" s="100" t="str">
        <x:f>IF(AND($E21&lt;=N$8+6,$F21&gt;=N$8),1,"")</x:f>
      </x:c>
      <x:c r="O21" s="100" t="n">
        <x:f>IF(AND($E21&lt;=O$8+6,$F21&gt;=O$8),1,"")</x:f>
        <x:v>1</x:v>
      </x:c>
      <x:c r="P21" s="100" t="str">
        <x:f>IF(AND($E21&lt;=P$8+6,$F21&gt;=P$8),1,"")</x:f>
      </x:c>
    </x:row>
    <x:row r="22" ht="30" customHeight="1">
      <x:c r="A22" s="86" t="n">
        <x:v>13</x:v>
      </x:c>
      <x:c r="B22" s="95" t="str">
        <x:v>Despliegue, respaldo y manual básico</x:v>
      </x:c>
      <x:c r="C22" s="95" t="str">
        <x:v>QA / DevOps</x:v>
      </x:c>
      <x:c r="D22" s="86" t="str">
        <x:v>Sprint 4</x:v>
      </x:c>
      <x:c r="E22" s="90" t="n">
        <x:v>46296</x:v>
      </x:c>
      <x:c r="F22" s="90" t="n">
        <x:v>46303</x:v>
      </x:c>
      <x:c r="G22" s="91" t="n">
        <x:f>F22-E22+1</x:f>
        <x:v>8</x:v>
      </x:c>
      <x:c r="H22" s="86" t="str">
        <x:v>Planeada</x:v>
      </x:c>
      <x:c r="I22" s="100" t="str">
        <x:f>IF(AND($E22&lt;=I$8+6,$F22&gt;=I$8),1,"")</x:f>
      </x:c>
      <x:c r="J22" s="100" t="str">
        <x:f>IF(AND($E22&lt;=J$8+6,$F22&gt;=J$8),1,"")</x:f>
      </x:c>
      <x:c r="K22" s="100" t="str">
        <x:f>IF(AND($E22&lt;=K$8+6,$F22&gt;=K$8),1,"")</x:f>
      </x:c>
      <x:c r="L22" s="100" t="str">
        <x:f>IF(AND($E22&lt;=L$8+6,$F22&gt;=L$8),1,"")</x:f>
      </x:c>
      <x:c r="M22" s="100" t="str">
        <x:f>IF(AND($E22&lt;=M$8+6,$F22&gt;=M$8),1,"")</x:f>
      </x:c>
      <x:c r="N22" s="100" t="str">
        <x:f>IF(AND($E22&lt;=N$8+6,$F22&gt;=N$8),1,"")</x:f>
      </x:c>
      <x:c r="O22" s="100" t="n">
        <x:f>IF(AND($E22&lt;=O$8+6,$F22&gt;=O$8),1,"")</x:f>
        <x:v>1</x:v>
      </x:c>
      <x:c r="P22" s="100" t="n">
        <x:f>IF(AND($E22&lt;=P$8+6,$F22&gt;=P$8),1,"")</x:f>
        <x:v>1</x:v>
      </x:c>
    </x:row>
    <x:row r="23" ht="30" customHeight="1">
      <x:c r="A23" s="105" t="n">
        <x:v>14</x:v>
      </x:c>
      <x:c r="B23" s="106" t="str">
        <x:v>Validación con Product Owner y demostración final</x:v>
      </x:c>
      <x:c r="C23" s="106" t="str">
        <x:v>Equipo / Product Owner</x:v>
      </x:c>
      <x:c r="D23" s="105" t="str">
        <x:v>Sprint 4</x:v>
      </x:c>
      <x:c r="E23" s="107" t="n">
        <x:v>46304</x:v>
      </x:c>
      <x:c r="F23" s="107" t="n">
        <x:v>46306</x:v>
      </x:c>
      <x:c r="G23" s="108" t="n">
        <x:f>F23-E23+1</x:f>
        <x:v>3</x:v>
      </x:c>
      <x:c r="H23" s="105" t="str">
        <x:v>Planeada</x:v>
      </x:c>
      <x:c r="I23" s="100" t="str">
        <x:f>IF(AND($E23&lt;=I$8+6,$F23&gt;=I$8),1,"")</x:f>
      </x:c>
      <x:c r="J23" s="100" t="str">
        <x:f>IF(AND($E23&lt;=J$8+6,$F23&gt;=J$8),1,"")</x:f>
      </x:c>
      <x:c r="K23" s="100" t="str">
        <x:f>IF(AND($E23&lt;=K$8+6,$F23&gt;=K$8),1,"")</x:f>
      </x:c>
      <x:c r="L23" s="100" t="str">
        <x:f>IF(AND($E23&lt;=L$8+6,$F23&gt;=L$8),1,"")</x:f>
      </x:c>
      <x:c r="M23" s="100" t="str">
        <x:f>IF(AND($E23&lt;=M$8+6,$F23&gt;=M$8),1,"")</x:f>
      </x:c>
      <x:c r="N23" s="100" t="str">
        <x:f>IF(AND($E23&lt;=N$8+6,$F23&gt;=N$8),1,"")</x:f>
      </x:c>
      <x:c r="O23" s="100" t="str">
        <x:f>IF(AND($E23&lt;=O$8+6,$F23&gt;=O$8),1,"")</x:f>
      </x:c>
      <x:c r="P23" s="100" t="n">
        <x:f>IF(AND($E23&lt;=P$8+6,$F23&gt;=P$8),1,"")</x:f>
        <x:v>1</x:v>
      </x:c>
    </x:row>
    <x:row r="25">
      <x:c r="A25" s="110" t="str">
        <x:v>LEYENDA</x:v>
      </x:c>
      <x:c r="B25" s="110"/>
      <x:c r="C25" s="113" t="str">
        <x:v>Sprint 1</x:v>
      </x:c>
      <x:c r="D25" s="113"/>
      <x:c r="E25" s="116" t="str">
        <x:v>Sprint 2</x:v>
      </x:c>
      <x:c r="F25" s="116"/>
      <x:c r="G25" s="119" t="str">
        <x:v>Sprint 3</x:v>
      </x:c>
      <x:c r="H25" s="119"/>
      <x:c r="I25" s="122" t="str">
        <x:v>Sprint 4</x:v>
      </x:c>
      <x:c r="J25" s="122"/>
    </x:row>
    <x:row r="27">
      <x:c r="A27" s="137" t="str">
        <x:v>Uso: cambie las fechas de Inicio y Fin o seleccione un Estado. Las duraciones, las barras semanales y el porcentaje de progreso se actualizan mediante fórmulas. La fecha de inicio es una propuesta y puede ajustarse al calendario real del equipo.</x:v>
      </x:c>
      <x:c r="B27" s="138"/>
      <x:c r="C27" s="138"/>
      <x:c r="D27" s="138"/>
      <x:c r="E27" s="138"/>
      <x:c r="F27" s="138"/>
      <x:c r="G27" s="138"/>
      <x:c r="H27" s="138"/>
      <x:c r="I27" s="138"/>
      <x:c r="J27" s="138"/>
      <x:c r="K27" s="138"/>
      <x:c r="L27" s="138"/>
      <x:c r="M27" s="138"/>
      <x:c r="N27" s="138"/>
      <x:c r="O27" s="138"/>
      <x:c r="P27" s="139"/>
    </x:row>
    <x:row r="28">
      <x:c r="A28" s="140"/>
      <x:c r="B28" s="141"/>
      <x:c r="C28" s="141"/>
      <x:c r="D28" s="141"/>
      <x:c r="E28" s="141"/>
      <x:c r="F28" s="141"/>
      <x:c r="G28" s="141"/>
      <x:c r="H28" s="141"/>
      <x:c r="I28" s="141"/>
      <x:c r="J28" s="141"/>
      <x:c r="K28" s="141"/>
      <x:c r="L28" s="141"/>
      <x:c r="M28" s="141"/>
      <x:c r="N28" s="141"/>
      <x:c r="O28" s="141"/>
      <x:c r="P28" s="142"/>
    </x:row>
  </x:sheetData>
  <x:mergeCells>
    <x:mergeCell ref="A1:P1"/>
    <x:mergeCell ref="A2:P2"/>
    <x:mergeCell ref="A3:B3"/>
    <x:mergeCell ref="C3:F3"/>
    <x:mergeCell ref="G3:H3"/>
    <x:mergeCell ref="I3:P3"/>
    <x:mergeCell ref="A4:B4"/>
    <x:mergeCell ref="C4:D4"/>
    <x:mergeCell ref="E4:F4"/>
    <x:mergeCell ref="G4:H4"/>
    <x:mergeCell ref="I4:J4"/>
    <x:mergeCell ref="K4:L4"/>
    <x:mergeCell ref="M4:N4"/>
    <x:mergeCell ref="O4:P4"/>
    <x:mergeCell ref="A6:B6"/>
    <x:mergeCell ref="C6:D6"/>
    <x:mergeCell ref="E6:F6"/>
    <x:mergeCell ref="G6:H6"/>
    <x:mergeCell ref="I6:J6"/>
    <x:mergeCell ref="K6:L6"/>
    <x:mergeCell ref="M6:P6"/>
    <x:mergeCell ref="A8:H8"/>
    <x:mergeCell ref="A25:B25"/>
    <x:mergeCell ref="C25:D25"/>
    <x:mergeCell ref="E25:F25"/>
    <x:mergeCell ref="G25:H25"/>
    <x:mergeCell ref="I25:J25"/>
    <x:mergeCell ref="A27:P28"/>
  </x:mergeCells>
  <x:conditionalFormatting sqref="H10:H23">
    <x:cfRule type="containsText" dxfId="0" priority="1" operator="containsText" text="Completada"/>
    <x:cfRule type="containsText" dxfId="1" priority="2" operator="containsText" text="En curso"/>
    <x:cfRule type="containsText" dxfId="2" priority="3" operator="containsText" text="Bloqueada"/>
  </x:conditionalFormatting>
  <x:conditionalFormatting sqref="I10:P23">
    <x:cfRule type="expression" dxfId="3" priority="4">
      <x:formula>AND(I10=1,$D10="Sprint 1")</x:formula>
    </x:cfRule>
    <x:cfRule type="expression" dxfId="4" priority="5">
      <x:formula>AND(I10=1,$D10="Sprint 2")</x:formula>
    </x:cfRule>
    <x:cfRule type="expression" dxfId="5" priority="6">
      <x:formula>AND(I10=1,$D10="Sprint 3")</x:formula>
    </x:cfRule>
    <x:cfRule type="expression" dxfId="6" priority="7">
      <x:formula>AND(I10=1,$D10="Sprint 4")</x:formula>
    </x:cfRule>
  </x:conditionalFormatting>
  <x:dataValidations count="1">
    <x:dataValidation type="list" sqref="H10:H23">
      <x:formula1>"Planeada,En curso,Completada,Bloqueada"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7f12f1b9bb42ab"/>
  </x:tableParts>
</x:worksheet>
</file>